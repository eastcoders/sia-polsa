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9636AB-C1D7-4445-88E5-A7388707B8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2A" sheetId="2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" i="21" l="1"/>
  <c r="U17" i="21"/>
  <c r="U19" i="21"/>
  <c r="U23" i="21"/>
  <c r="U26" i="21"/>
  <c r="U27" i="21"/>
  <c r="U30" i="21"/>
  <c r="U31" i="21"/>
  <c r="U32" i="21"/>
  <c r="U29" i="21" l="1"/>
  <c r="U25" i="21"/>
  <c r="U20" i="21"/>
  <c r="U18" i="21"/>
  <c r="U28" i="21"/>
  <c r="U24" i="21"/>
  <c r="U22" i="21"/>
  <c r="U21" i="21"/>
  <c r="U16" i="21"/>
  <c r="H42" i="21" l="1"/>
  <c r="Q39" i="21"/>
  <c r="U14" i="21"/>
  <c r="S13" i="21"/>
  <c r="Q13" i="21"/>
  <c r="O13" i="21"/>
  <c r="M13" i="21"/>
  <c r="K13" i="21"/>
  <c r="I13" i="21"/>
  <c r="R9" i="21"/>
  <c r="T13" i="21" l="1"/>
  <c r="U13" i="21" s="1"/>
</calcChain>
</file>

<file path=xl/sharedStrings.xml><?xml version="1.0" encoding="utf-8"?>
<sst xmlns="http://schemas.openxmlformats.org/spreadsheetml/2006/main" count="69" uniqueCount="64">
  <si>
    <t>DAFTAR NILAI</t>
  </si>
  <si>
    <t>Dosen</t>
  </si>
  <si>
    <t>Kelas</t>
  </si>
  <si>
    <t>:</t>
  </si>
  <si>
    <t xml:space="preserve">Semester                      </t>
  </si>
  <si>
    <t>Program Studi</t>
  </si>
  <si>
    <t xml:space="preserve">Jumlah TM                   </t>
  </si>
  <si>
    <t>No</t>
  </si>
  <si>
    <t>NIM</t>
  </si>
  <si>
    <t>Nama Mahasiswa</t>
  </si>
  <si>
    <t>Tugas</t>
  </si>
  <si>
    <t>UJIAN</t>
  </si>
  <si>
    <t>Jumlah</t>
  </si>
  <si>
    <t>NA</t>
  </si>
  <si>
    <t>I</t>
  </si>
  <si>
    <t>II</t>
  </si>
  <si>
    <t>% tugas</t>
  </si>
  <si>
    <t>%P</t>
  </si>
  <si>
    <t>UTS</t>
  </si>
  <si>
    <t>% MID</t>
  </si>
  <si>
    <t>UAS</t>
  </si>
  <si>
    <t>% UAS</t>
  </si>
  <si>
    <t>Dosen Pengampu</t>
  </si>
  <si>
    <t>III</t>
  </si>
  <si>
    <t>IV</t>
  </si>
  <si>
    <t>Politeknik Sawnggalih Aji</t>
  </si>
  <si>
    <t>NIDN/NUPN</t>
  </si>
  <si>
    <t xml:space="preserve">Kode Kelas                  </t>
  </si>
  <si>
    <t>Rata-rata Kehadiran       :</t>
  </si>
  <si>
    <t>Aktif</t>
  </si>
  <si>
    <t>Etika</t>
  </si>
  <si>
    <t>V</t>
  </si>
  <si>
    <t>K</t>
  </si>
  <si>
    <t>% K</t>
  </si>
  <si>
    <t>E</t>
  </si>
  <si>
    <t>% E</t>
  </si>
  <si>
    <t>TOT</t>
  </si>
  <si>
    <t>Presentasi Penilaian</t>
  </si>
  <si>
    <t xml:space="preserve">UTS </t>
  </si>
  <si>
    <t xml:space="preserve">UAS </t>
  </si>
  <si>
    <t xml:space="preserve">Presensi </t>
  </si>
  <si>
    <t xml:space="preserve">Etika </t>
  </si>
  <si>
    <t>Presentase</t>
  </si>
  <si>
    <t xml:space="preserve">Purworejo, </t>
  </si>
  <si>
    <t>Alfarizi Aprilliano</t>
  </si>
  <si>
    <t>Wendry Roikhana Zahro</t>
  </si>
  <si>
    <t>Fajar Bayu Timur</t>
  </si>
  <si>
    <t>Rima Cahyanigrum</t>
  </si>
  <si>
    <t>Wahyu Dwi Saputra</t>
  </si>
  <si>
    <t>Dhimas Rahmat Ari Yulianto</t>
  </si>
  <si>
    <t>Liana Maulidya</t>
  </si>
  <si>
    <t>Rahmat Dwi Yulianto</t>
  </si>
  <si>
    <t>Riyan Nur Hidayat</t>
  </si>
  <si>
    <t>Shandhy Nandha Fauzi</t>
  </si>
  <si>
    <t>Fahira Aurellia Saskia Putri</t>
  </si>
  <si>
    <t>Syaira Amanda Keisha Putri</t>
  </si>
  <si>
    <t>Lutfi Bayu Abidin</t>
  </si>
  <si>
    <t>Much Naja Mungidal Anwar</t>
  </si>
  <si>
    <t>Rahmat Aji Ilham</t>
  </si>
  <si>
    <t>Allam Zidane Prasetyo</t>
  </si>
  <si>
    <t>Ahmad Nur Romadhon</t>
  </si>
  <si>
    <t xml:space="preserve">Dimas Ardita Iksan </t>
  </si>
  <si>
    <t>Semester : Genap 2023/2024</t>
  </si>
  <si>
    <t>Nama Matakuliah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</si>
</sst>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\K\a\l\i"/>
    <numFmt numFmtId="165" formatCode="@\ * &quot;:&quot;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1" fillId="0" borderId="0"/>
    <xf numFmtId="0" fontId="5" fillId="0" borderId="0"/>
  </cellStyleXfs>
  <cellXfs count="60">
    <xf numFmtId="0" fontId="0" fillId="0" borderId="0" xfId="0"/>
    <xf numFmtId="0" fontId="3" fillId="0" borderId="0" xfId="0" applyFont="1"/>
    <xf numFmtId="0" fontId="6" fillId="0" borderId="0" xfId="0" applyFont="1"/>
    <xf numFmtId="0" fontId="1" fillId="0" borderId="0" xfId="0" applyFont="1"/>
    <xf numFmtId="0" fontId="6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2" fontId="1" fillId="0" borderId="6" xfId="0" applyNumberFormat="1" applyFont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6" xfId="0" applyFont="1" applyBorder="1"/>
    <xf numFmtId="0" fontId="9" fillId="0" borderId="0" xfId="0" applyFont="1"/>
    <xf numFmtId="0" fontId="8" fillId="0" borderId="0" xfId="0" applyFont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9" fontId="6" fillId="0" borderId="6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" fillId="0" borderId="6" xfId="0" applyFont="1" applyBorder="1"/>
    <xf numFmtId="0" fontId="7" fillId="0" borderId="6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5" fontId="6" fillId="0" borderId="7" xfId="0" applyNumberFormat="1" applyFont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34</xdr:row>
      <xdr:rowOff>19049</xdr:rowOff>
    </xdr:from>
    <xdr:to>
      <xdr:col>2</xdr:col>
      <xdr:colOff>926997</xdr:colOff>
      <xdr:row>40</xdr:row>
      <xdr:rowOff>180974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6696074"/>
          <a:ext cx="1793773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K39" sqref="K39"/>
    </sheetView>
  </sheetViews>
  <sheetFormatPr defaultRowHeight="15" x14ac:dyDescent="0.25"/>
  <cols>
    <col min="1" max="1" width="4.42578125" style="3" customWidth="1"/>
    <col min="2" max="2" width="14.28515625" style="3" customWidth="1"/>
    <col min="3" max="3" width="28.140625" style="3" bestFit="1" customWidth="1"/>
    <col min="4" max="8" width="5.42578125" style="10" customWidth="1"/>
    <col min="9" max="9" width="7.7109375" style="10" customWidth="1"/>
    <col min="10" max="10" width="6" style="10" customWidth="1"/>
    <col min="11" max="11" width="7.85546875" style="10" customWidth="1"/>
    <col min="12" max="12" width="5.42578125" style="10" customWidth="1"/>
    <col min="13" max="13" width="7.7109375" style="10" customWidth="1"/>
    <col min="14" max="14" width="6.28515625" style="10" customWidth="1"/>
    <col min="15" max="15" width="6.85546875" style="10" customWidth="1"/>
    <col min="16" max="16" width="6.42578125" style="10" customWidth="1"/>
    <col min="17" max="17" width="7.7109375" style="10" customWidth="1"/>
    <col min="18" max="18" width="6.85546875" style="10" customWidth="1"/>
    <col min="19" max="21" width="7.7109375" style="10" customWidth="1"/>
    <col min="22" max="16384" width="9.140625" style="3"/>
  </cols>
  <sheetData>
    <row r="1" spans="1:23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2"/>
      <c r="W1" s="2"/>
    </row>
    <row r="2" spans="1:23" x14ac:dyDescent="0.25">
      <c r="A2" s="46" t="s">
        <v>62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2"/>
      <c r="W2" s="2"/>
    </row>
    <row r="3" spans="1:23" x14ac:dyDescent="0.25">
      <c r="A3" s="46" t="s">
        <v>25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2"/>
      <c r="W3" s="2"/>
    </row>
    <row r="4" spans="1:2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"/>
      <c r="W4" s="2"/>
    </row>
    <row r="5" spans="1:23" x14ac:dyDescent="0.25">
      <c r="A5" s="45" t="s">
        <v>1</v>
      </c>
      <c r="B5" s="45"/>
      <c r="C5" s="5"/>
      <c r="D5" s="6"/>
      <c r="E5" s="6"/>
      <c r="F5" s="6"/>
      <c r="G5" s="6"/>
      <c r="H5" s="6"/>
      <c r="I5" s="6"/>
      <c r="J5" s="6"/>
      <c r="K5" s="6"/>
      <c r="L5" s="6"/>
      <c r="M5" s="5"/>
      <c r="N5" s="7"/>
      <c r="O5" s="8" t="s">
        <v>2</v>
      </c>
      <c r="P5" s="7"/>
      <c r="Q5" s="7" t="s">
        <v>3</v>
      </c>
      <c r="R5" s="5"/>
      <c r="S5" s="5"/>
      <c r="T5" s="6"/>
      <c r="U5" s="6"/>
      <c r="V5" s="2"/>
      <c r="W5" s="2"/>
    </row>
    <row r="6" spans="1:23" x14ac:dyDescent="0.25">
      <c r="A6" s="45" t="s">
        <v>26</v>
      </c>
      <c r="B6" s="45"/>
      <c r="C6" s="9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2" t="s">
        <v>4</v>
      </c>
      <c r="P6" s="2"/>
      <c r="Q6" s="7" t="s">
        <v>3</v>
      </c>
      <c r="R6" s="5"/>
      <c r="S6" s="5"/>
      <c r="T6" s="6"/>
      <c r="U6" s="6"/>
      <c r="V6" s="2"/>
      <c r="W6" s="2"/>
    </row>
    <row r="7" spans="1:23" x14ac:dyDescent="0.25">
      <c r="A7" s="45" t="s">
        <v>5</v>
      </c>
      <c r="B7" s="45"/>
      <c r="C7" s="5"/>
      <c r="D7" s="6"/>
      <c r="E7" s="6"/>
      <c r="F7" s="6"/>
      <c r="G7" s="6"/>
      <c r="H7" s="6"/>
      <c r="K7" s="6"/>
      <c r="M7" s="5"/>
      <c r="N7" s="5"/>
      <c r="O7" s="2" t="s">
        <v>27</v>
      </c>
      <c r="P7" s="2"/>
      <c r="Q7" s="7" t="s">
        <v>3</v>
      </c>
      <c r="R7" s="11"/>
      <c r="S7" s="11"/>
      <c r="T7" s="6"/>
      <c r="U7" s="6"/>
      <c r="V7" s="2"/>
      <c r="W7" s="2"/>
    </row>
    <row r="8" spans="1:23" x14ac:dyDescent="0.25">
      <c r="A8" s="45" t="s">
        <v>63</v>
      </c>
      <c r="B8" s="45"/>
      <c r="C8" s="2"/>
      <c r="M8" s="5"/>
      <c r="N8" s="5"/>
      <c r="O8" s="2" t="s">
        <v>6</v>
      </c>
      <c r="P8" s="2"/>
      <c r="Q8" s="7" t="s">
        <v>3</v>
      </c>
      <c r="R8" s="12">
        <v>14</v>
      </c>
      <c r="S8" s="12"/>
    </row>
    <row r="9" spans="1:23" x14ac:dyDescent="0.25">
      <c r="A9" s="49"/>
      <c r="B9" s="45"/>
      <c r="C9" s="8"/>
      <c r="M9" s="5"/>
      <c r="N9" s="5"/>
      <c r="O9" s="13" t="s">
        <v>28</v>
      </c>
      <c r="P9" s="2"/>
      <c r="Q9" s="7"/>
      <c r="R9" s="14">
        <f xml:space="preserve"> AVERAGE(N13:N32)</f>
        <v>14</v>
      </c>
      <c r="S9" s="5"/>
    </row>
    <row r="11" spans="1:23" ht="15" customHeight="1" x14ac:dyDescent="0.25">
      <c r="A11" s="47" t="s">
        <v>7</v>
      </c>
      <c r="B11" s="47" t="s">
        <v>8</v>
      </c>
      <c r="C11" s="50" t="s">
        <v>9</v>
      </c>
      <c r="D11" s="50" t="s">
        <v>10</v>
      </c>
      <c r="E11" s="50"/>
      <c r="F11" s="50"/>
      <c r="G11" s="50"/>
      <c r="H11" s="50"/>
      <c r="I11" s="50"/>
      <c r="J11" s="51" t="s">
        <v>29</v>
      </c>
      <c r="K11" s="52"/>
      <c r="L11" s="51" t="s">
        <v>30</v>
      </c>
      <c r="M11" s="52"/>
      <c r="N11" s="53"/>
      <c r="O11" s="52"/>
      <c r="P11" s="51" t="s">
        <v>11</v>
      </c>
      <c r="Q11" s="53"/>
      <c r="R11" s="53"/>
      <c r="S11" s="52"/>
      <c r="T11" s="47" t="s">
        <v>12</v>
      </c>
      <c r="U11" s="47" t="s">
        <v>13</v>
      </c>
    </row>
    <row r="12" spans="1:23" ht="15" customHeight="1" x14ac:dyDescent="0.25">
      <c r="A12" s="48"/>
      <c r="B12" s="48"/>
      <c r="C12" s="50"/>
      <c r="D12" s="15" t="s">
        <v>14</v>
      </c>
      <c r="E12" s="15" t="s">
        <v>15</v>
      </c>
      <c r="F12" s="15" t="s">
        <v>23</v>
      </c>
      <c r="G12" s="15" t="s">
        <v>24</v>
      </c>
      <c r="H12" s="15" t="s">
        <v>31</v>
      </c>
      <c r="I12" s="15" t="s">
        <v>16</v>
      </c>
      <c r="J12" s="15" t="s">
        <v>32</v>
      </c>
      <c r="K12" s="15" t="s">
        <v>33</v>
      </c>
      <c r="L12" s="15" t="s">
        <v>34</v>
      </c>
      <c r="M12" s="15" t="s">
        <v>35</v>
      </c>
      <c r="N12" s="15" t="s">
        <v>36</v>
      </c>
      <c r="O12" s="15" t="s">
        <v>17</v>
      </c>
      <c r="P12" s="15" t="s">
        <v>18</v>
      </c>
      <c r="Q12" s="15" t="s">
        <v>19</v>
      </c>
      <c r="R12" s="15" t="s">
        <v>20</v>
      </c>
      <c r="S12" s="15" t="s">
        <v>21</v>
      </c>
      <c r="T12" s="48"/>
      <c r="U12" s="48"/>
    </row>
    <row r="13" spans="1:23" s="24" customFormat="1" ht="15.75" x14ac:dyDescent="0.25">
      <c r="A13" s="16">
        <v>1</v>
      </c>
      <c r="B13" s="38">
        <v>32231001</v>
      </c>
      <c r="C13" s="17" t="s">
        <v>44</v>
      </c>
      <c r="D13" s="44">
        <v>80</v>
      </c>
      <c r="E13" s="44">
        <v>80</v>
      </c>
      <c r="F13" s="44">
        <v>90</v>
      </c>
      <c r="G13" s="44">
        <v>80</v>
      </c>
      <c r="H13" s="44">
        <v>80</v>
      </c>
      <c r="I13" s="18">
        <f>SUM(D13:H13)/5/100*25</f>
        <v>20.5</v>
      </c>
      <c r="J13" s="19">
        <v>85</v>
      </c>
      <c r="K13" s="18">
        <f>J13/100*5</f>
        <v>4.25</v>
      </c>
      <c r="L13" s="20">
        <v>80</v>
      </c>
      <c r="M13" s="18">
        <f>L13/100*5</f>
        <v>4</v>
      </c>
      <c r="N13" s="21">
        <v>14</v>
      </c>
      <c r="O13" s="18">
        <f>N13/$R$8*15</f>
        <v>15</v>
      </c>
      <c r="P13" s="22">
        <v>70</v>
      </c>
      <c r="Q13" s="18">
        <f t="shared" ref="Q13" si="0">P13/100*25</f>
        <v>17.5</v>
      </c>
      <c r="R13" s="22">
        <v>62</v>
      </c>
      <c r="S13" s="18">
        <f t="shared" ref="S13" si="1">R13/100*25</f>
        <v>15.5</v>
      </c>
      <c r="T13" s="18">
        <f t="shared" ref="T13" si="2">I13+K13+M13+O13+Q13+S13</f>
        <v>76.75</v>
      </c>
      <c r="U13" s="23" t="str">
        <f t="shared" ref="U13:U32" si="3">IF(T13&gt;=85,"A",IF(T13&gt;=80,"A-",IF(T13&gt;=75,"B+",IF(T13&gt;=70,"B",IF(T13&gt;=65,"B-",IF(T13&gt;=60,"C+",IF(T13&gt;=55,"C",IF(T13&gt;=50,"C-",IF(T13&gt;=40,"D",IF(T13&gt;=0,"E"))))))))))</f>
        <v>B+</v>
      </c>
    </row>
    <row r="14" spans="1:23" ht="15.75" x14ac:dyDescent="0.25">
      <c r="A14" s="16">
        <v>2</v>
      </c>
      <c r="B14" s="38">
        <v>32231002</v>
      </c>
      <c r="C14" s="17" t="s">
        <v>45</v>
      </c>
      <c r="D14" s="17"/>
      <c r="E14" s="17"/>
      <c r="F14" s="17"/>
      <c r="G14" s="17"/>
      <c r="H14" s="17"/>
      <c r="I14" s="18"/>
      <c r="J14" s="19"/>
      <c r="K14" s="18"/>
      <c r="L14" s="20"/>
      <c r="M14" s="18"/>
      <c r="N14" s="21"/>
      <c r="O14" s="18"/>
      <c r="P14" s="22"/>
      <c r="Q14" s="18"/>
      <c r="R14" s="22"/>
      <c r="S14" s="18"/>
      <c r="T14" s="18"/>
      <c r="U14" s="23" t="str">
        <f t="shared" si="3"/>
        <v>E</v>
      </c>
    </row>
    <row r="15" spans="1:23" ht="15.75" x14ac:dyDescent="0.25">
      <c r="A15" s="16">
        <v>3</v>
      </c>
      <c r="B15" s="38">
        <v>32231003</v>
      </c>
      <c r="C15" s="17" t="s">
        <v>46</v>
      </c>
      <c r="D15" s="17"/>
      <c r="E15" s="17"/>
      <c r="F15" s="17"/>
      <c r="G15" s="17"/>
      <c r="H15" s="17"/>
      <c r="I15" s="18"/>
      <c r="J15" s="19"/>
      <c r="K15" s="18"/>
      <c r="L15" s="20"/>
      <c r="M15" s="18"/>
      <c r="N15" s="21"/>
      <c r="O15" s="18"/>
      <c r="P15" s="22"/>
      <c r="Q15" s="18"/>
      <c r="R15" s="22"/>
      <c r="S15" s="18"/>
      <c r="T15" s="18"/>
      <c r="U15" s="23" t="str">
        <f t="shared" si="3"/>
        <v>E</v>
      </c>
    </row>
    <row r="16" spans="1:23" ht="15.75" x14ac:dyDescent="0.25">
      <c r="A16" s="16">
        <v>4</v>
      </c>
      <c r="B16" s="38">
        <v>32231004</v>
      </c>
      <c r="C16" s="17" t="s">
        <v>47</v>
      </c>
      <c r="D16" s="17"/>
      <c r="E16" s="17"/>
      <c r="F16" s="17"/>
      <c r="G16" s="17"/>
      <c r="H16" s="17"/>
      <c r="I16" s="18"/>
      <c r="J16" s="19"/>
      <c r="K16" s="18"/>
      <c r="L16" s="20"/>
      <c r="M16" s="18"/>
      <c r="N16" s="21"/>
      <c r="O16" s="18"/>
      <c r="P16" s="22"/>
      <c r="Q16" s="18"/>
      <c r="R16" s="22"/>
      <c r="S16" s="18"/>
      <c r="T16" s="18"/>
      <c r="U16" s="23" t="str">
        <f t="shared" si="3"/>
        <v>E</v>
      </c>
    </row>
    <row r="17" spans="1:21" ht="15.75" x14ac:dyDescent="0.25">
      <c r="A17" s="16">
        <v>5</v>
      </c>
      <c r="B17" s="38">
        <v>32231005</v>
      </c>
      <c r="C17" s="17" t="s">
        <v>48</v>
      </c>
      <c r="D17" s="17"/>
      <c r="E17" s="17"/>
      <c r="F17" s="17"/>
      <c r="G17" s="17"/>
      <c r="H17" s="17"/>
      <c r="I17" s="18"/>
      <c r="J17" s="19"/>
      <c r="K17" s="18"/>
      <c r="L17" s="20"/>
      <c r="M17" s="18"/>
      <c r="N17" s="21"/>
      <c r="O17" s="18"/>
      <c r="P17" s="22"/>
      <c r="Q17" s="18"/>
      <c r="R17" s="22"/>
      <c r="S17" s="18"/>
      <c r="T17" s="18"/>
      <c r="U17" s="23" t="str">
        <f t="shared" si="3"/>
        <v>E</v>
      </c>
    </row>
    <row r="18" spans="1:21" ht="15.75" x14ac:dyDescent="0.25">
      <c r="A18" s="16">
        <v>6</v>
      </c>
      <c r="B18" s="38">
        <v>32231006</v>
      </c>
      <c r="C18" s="17" t="s">
        <v>49</v>
      </c>
      <c r="D18" s="17"/>
      <c r="E18" s="17"/>
      <c r="F18" s="17"/>
      <c r="G18" s="17"/>
      <c r="H18" s="17"/>
      <c r="I18" s="18"/>
      <c r="J18" s="19"/>
      <c r="K18" s="18"/>
      <c r="L18" s="20"/>
      <c r="M18" s="18"/>
      <c r="N18" s="21"/>
      <c r="O18" s="18"/>
      <c r="P18" s="22"/>
      <c r="Q18" s="18"/>
      <c r="R18" s="22"/>
      <c r="S18" s="18"/>
      <c r="T18" s="18"/>
      <c r="U18" s="23" t="str">
        <f t="shared" si="3"/>
        <v>E</v>
      </c>
    </row>
    <row r="19" spans="1:21" ht="15.75" x14ac:dyDescent="0.25">
      <c r="A19" s="16">
        <v>7</v>
      </c>
      <c r="B19" s="38">
        <v>32231007</v>
      </c>
      <c r="C19" s="17" t="s">
        <v>50</v>
      </c>
      <c r="D19" s="17"/>
      <c r="E19" s="17"/>
      <c r="F19" s="17"/>
      <c r="G19" s="17"/>
      <c r="H19" s="17"/>
      <c r="I19" s="18"/>
      <c r="J19" s="19"/>
      <c r="K19" s="18"/>
      <c r="L19" s="20"/>
      <c r="M19" s="18"/>
      <c r="N19" s="21"/>
      <c r="O19" s="18"/>
      <c r="P19" s="22"/>
      <c r="Q19" s="18"/>
      <c r="R19" s="22"/>
      <c r="S19" s="18"/>
      <c r="T19" s="18"/>
      <c r="U19" s="23" t="str">
        <f t="shared" si="3"/>
        <v>E</v>
      </c>
    </row>
    <row r="20" spans="1:21" ht="15.75" x14ac:dyDescent="0.25">
      <c r="A20" s="16">
        <v>8</v>
      </c>
      <c r="B20" s="38">
        <v>32231008</v>
      </c>
      <c r="C20" s="17" t="s">
        <v>51</v>
      </c>
      <c r="D20" s="17"/>
      <c r="E20" s="17"/>
      <c r="F20" s="17"/>
      <c r="G20" s="17"/>
      <c r="H20" s="17"/>
      <c r="I20" s="18"/>
      <c r="J20" s="19"/>
      <c r="K20" s="18"/>
      <c r="L20" s="20"/>
      <c r="M20" s="18"/>
      <c r="N20" s="21"/>
      <c r="O20" s="18"/>
      <c r="P20" s="22"/>
      <c r="Q20" s="18"/>
      <c r="R20" s="22"/>
      <c r="S20" s="18"/>
      <c r="T20" s="18"/>
      <c r="U20" s="23" t="str">
        <f t="shared" si="3"/>
        <v>E</v>
      </c>
    </row>
    <row r="21" spans="1:21" ht="15.75" x14ac:dyDescent="0.25">
      <c r="A21" s="16">
        <v>9</v>
      </c>
      <c r="B21" s="38">
        <v>32231009</v>
      </c>
      <c r="C21" s="17" t="s">
        <v>52</v>
      </c>
      <c r="D21" s="17"/>
      <c r="E21" s="17"/>
      <c r="F21" s="17"/>
      <c r="G21" s="17"/>
      <c r="H21" s="17"/>
      <c r="I21" s="18"/>
      <c r="J21" s="19"/>
      <c r="K21" s="18"/>
      <c r="L21" s="20"/>
      <c r="M21" s="18"/>
      <c r="N21" s="21"/>
      <c r="O21" s="18"/>
      <c r="P21" s="22"/>
      <c r="Q21" s="18"/>
      <c r="R21" s="22"/>
      <c r="S21" s="18"/>
      <c r="T21" s="18"/>
      <c r="U21" s="23" t="str">
        <f t="shared" si="3"/>
        <v>E</v>
      </c>
    </row>
    <row r="22" spans="1:21" ht="15.75" x14ac:dyDescent="0.25">
      <c r="A22" s="16">
        <v>10</v>
      </c>
      <c r="B22" s="38">
        <v>32231010</v>
      </c>
      <c r="C22" s="17" t="s">
        <v>53</v>
      </c>
      <c r="D22" s="17"/>
      <c r="E22" s="17"/>
      <c r="F22" s="17"/>
      <c r="G22" s="17"/>
      <c r="H22" s="17"/>
      <c r="I22" s="18"/>
      <c r="J22" s="19"/>
      <c r="K22" s="18"/>
      <c r="L22" s="20"/>
      <c r="M22" s="18"/>
      <c r="N22" s="21"/>
      <c r="O22" s="18"/>
      <c r="P22" s="22"/>
      <c r="Q22" s="18"/>
      <c r="R22" s="22"/>
      <c r="S22" s="18"/>
      <c r="T22" s="18"/>
      <c r="U22" s="23" t="str">
        <f t="shared" si="3"/>
        <v>E</v>
      </c>
    </row>
    <row r="23" spans="1:21" ht="15.75" x14ac:dyDescent="0.25">
      <c r="A23" s="16">
        <v>11</v>
      </c>
      <c r="B23" s="38">
        <v>32231011</v>
      </c>
      <c r="C23" s="17" t="s">
        <v>54</v>
      </c>
      <c r="D23" s="17"/>
      <c r="E23" s="17"/>
      <c r="F23" s="17"/>
      <c r="G23" s="17"/>
      <c r="H23" s="17"/>
      <c r="I23" s="18"/>
      <c r="J23" s="19"/>
      <c r="K23" s="18"/>
      <c r="L23" s="20"/>
      <c r="M23" s="18"/>
      <c r="N23" s="21"/>
      <c r="O23" s="18"/>
      <c r="P23" s="22"/>
      <c r="Q23" s="18"/>
      <c r="R23" s="22"/>
      <c r="S23" s="18"/>
      <c r="T23" s="18"/>
      <c r="U23" s="23" t="str">
        <f t="shared" si="3"/>
        <v>E</v>
      </c>
    </row>
    <row r="24" spans="1:21" ht="15.75" x14ac:dyDescent="0.25">
      <c r="A24" s="16">
        <v>12</v>
      </c>
      <c r="B24" s="38">
        <v>32231012</v>
      </c>
      <c r="C24" s="17" t="s">
        <v>55</v>
      </c>
      <c r="D24" s="17"/>
      <c r="E24" s="17"/>
      <c r="F24" s="17"/>
      <c r="G24" s="17"/>
      <c r="H24" s="17"/>
      <c r="I24" s="18"/>
      <c r="J24" s="19"/>
      <c r="K24" s="18"/>
      <c r="L24" s="20"/>
      <c r="M24" s="18"/>
      <c r="N24" s="21"/>
      <c r="O24" s="18"/>
      <c r="P24" s="22"/>
      <c r="Q24" s="18"/>
      <c r="R24" s="22"/>
      <c r="S24" s="18"/>
      <c r="T24" s="18"/>
      <c r="U24" s="23" t="str">
        <f t="shared" si="3"/>
        <v>E</v>
      </c>
    </row>
    <row r="25" spans="1:21" ht="15.75" x14ac:dyDescent="0.25">
      <c r="A25" s="16">
        <v>13</v>
      </c>
      <c r="B25" s="38">
        <v>32231013</v>
      </c>
      <c r="C25" s="17" t="s">
        <v>56</v>
      </c>
      <c r="D25" s="17"/>
      <c r="E25" s="17"/>
      <c r="F25" s="17"/>
      <c r="G25" s="17"/>
      <c r="H25" s="17"/>
      <c r="I25" s="18"/>
      <c r="J25" s="19"/>
      <c r="K25" s="18"/>
      <c r="L25" s="20"/>
      <c r="M25" s="18"/>
      <c r="N25" s="21"/>
      <c r="O25" s="18"/>
      <c r="P25" s="22"/>
      <c r="Q25" s="18"/>
      <c r="R25" s="22"/>
      <c r="S25" s="18"/>
      <c r="T25" s="18"/>
      <c r="U25" s="23" t="str">
        <f t="shared" si="3"/>
        <v>E</v>
      </c>
    </row>
    <row r="26" spans="1:21" ht="15.75" x14ac:dyDescent="0.25">
      <c r="A26" s="16">
        <v>14</v>
      </c>
      <c r="B26" s="38">
        <v>32231014</v>
      </c>
      <c r="C26" s="17" t="s">
        <v>57</v>
      </c>
      <c r="D26" s="17"/>
      <c r="E26" s="17"/>
      <c r="F26" s="17"/>
      <c r="G26" s="17"/>
      <c r="H26" s="17"/>
      <c r="I26" s="18"/>
      <c r="J26" s="19"/>
      <c r="K26" s="18"/>
      <c r="L26" s="20"/>
      <c r="M26" s="18"/>
      <c r="N26" s="21"/>
      <c r="O26" s="18"/>
      <c r="P26" s="22"/>
      <c r="Q26" s="18"/>
      <c r="R26" s="22"/>
      <c r="S26" s="18"/>
      <c r="T26" s="18"/>
      <c r="U26" s="23" t="str">
        <f t="shared" si="3"/>
        <v>E</v>
      </c>
    </row>
    <row r="27" spans="1:21" ht="15.75" x14ac:dyDescent="0.25">
      <c r="A27" s="16">
        <v>15</v>
      </c>
      <c r="B27" s="38">
        <v>32231016</v>
      </c>
      <c r="C27" s="17" t="s">
        <v>58</v>
      </c>
      <c r="D27" s="17"/>
      <c r="E27" s="17"/>
      <c r="F27" s="17"/>
      <c r="G27" s="17"/>
      <c r="H27" s="17"/>
      <c r="I27" s="18"/>
      <c r="J27" s="19"/>
      <c r="K27" s="18"/>
      <c r="L27" s="20"/>
      <c r="M27" s="18"/>
      <c r="N27" s="21"/>
      <c r="O27" s="18"/>
      <c r="P27" s="22"/>
      <c r="Q27" s="18"/>
      <c r="R27" s="22"/>
      <c r="S27" s="18"/>
      <c r="T27" s="18"/>
      <c r="U27" s="23" t="str">
        <f t="shared" si="3"/>
        <v>E</v>
      </c>
    </row>
    <row r="28" spans="1:21" ht="15.75" x14ac:dyDescent="0.25">
      <c r="A28" s="16">
        <v>16</v>
      </c>
      <c r="B28" s="38">
        <v>32231017</v>
      </c>
      <c r="C28" s="40" t="s">
        <v>59</v>
      </c>
      <c r="D28" s="17"/>
      <c r="E28" s="17"/>
      <c r="F28" s="17"/>
      <c r="G28" s="17"/>
      <c r="H28" s="17"/>
      <c r="I28" s="18"/>
      <c r="J28" s="19"/>
      <c r="K28" s="18"/>
      <c r="L28" s="20"/>
      <c r="M28" s="18"/>
      <c r="N28" s="21"/>
      <c r="O28" s="18"/>
      <c r="P28" s="22"/>
      <c r="Q28" s="18"/>
      <c r="R28" s="22"/>
      <c r="S28" s="18"/>
      <c r="T28" s="18"/>
      <c r="U28" s="23" t="str">
        <f t="shared" si="3"/>
        <v>E</v>
      </c>
    </row>
    <row r="29" spans="1:21" ht="15.75" x14ac:dyDescent="0.25">
      <c r="A29" s="16">
        <v>17</v>
      </c>
      <c r="B29" s="38">
        <v>32231018</v>
      </c>
      <c r="C29" s="17" t="s">
        <v>60</v>
      </c>
      <c r="D29" s="17"/>
      <c r="E29" s="17"/>
      <c r="F29" s="17"/>
      <c r="G29" s="17"/>
      <c r="H29" s="17"/>
      <c r="I29" s="18"/>
      <c r="J29" s="19"/>
      <c r="K29" s="18"/>
      <c r="L29" s="20"/>
      <c r="M29" s="18"/>
      <c r="N29" s="21"/>
      <c r="O29" s="18"/>
      <c r="P29" s="22"/>
      <c r="Q29" s="18"/>
      <c r="R29" s="22"/>
      <c r="S29" s="18"/>
      <c r="T29" s="18"/>
      <c r="U29" s="23" t="str">
        <f t="shared" si="3"/>
        <v>E</v>
      </c>
    </row>
    <row r="30" spans="1:21" ht="15.75" x14ac:dyDescent="0.25">
      <c r="A30" s="16">
        <v>18</v>
      </c>
      <c r="B30" s="37">
        <v>32231020</v>
      </c>
      <c r="C30" s="42" t="s">
        <v>61</v>
      </c>
      <c r="D30" s="17"/>
      <c r="E30" s="17"/>
      <c r="F30" s="17"/>
      <c r="G30" s="17"/>
      <c r="H30" s="17"/>
      <c r="I30" s="18"/>
      <c r="J30" s="19"/>
      <c r="K30" s="18"/>
      <c r="L30" s="20"/>
      <c r="M30" s="18"/>
      <c r="N30" s="21"/>
      <c r="O30" s="18"/>
      <c r="P30" s="22"/>
      <c r="Q30" s="18"/>
      <c r="R30" s="22"/>
      <c r="S30" s="18"/>
      <c r="T30" s="18"/>
      <c r="U30" s="23" t="str">
        <f t="shared" si="3"/>
        <v>E</v>
      </c>
    </row>
    <row r="31" spans="1:21" ht="15.75" x14ac:dyDescent="0.25">
      <c r="A31" s="16">
        <v>19</v>
      </c>
      <c r="B31" s="39"/>
      <c r="C31" s="41"/>
      <c r="D31" s="17"/>
      <c r="E31" s="17"/>
      <c r="F31" s="17"/>
      <c r="G31" s="17"/>
      <c r="H31" s="17"/>
      <c r="I31" s="18"/>
      <c r="J31" s="19"/>
      <c r="K31" s="18"/>
      <c r="L31" s="20"/>
      <c r="M31" s="18"/>
      <c r="N31" s="21"/>
      <c r="O31" s="18"/>
      <c r="P31" s="22"/>
      <c r="Q31" s="18"/>
      <c r="R31" s="22"/>
      <c r="S31" s="18"/>
      <c r="T31" s="18"/>
      <c r="U31" s="23" t="str">
        <f t="shared" si="3"/>
        <v>E</v>
      </c>
    </row>
    <row r="32" spans="1:21" ht="15.75" x14ac:dyDescent="0.25">
      <c r="A32" s="16">
        <v>20</v>
      </c>
      <c r="B32" s="43"/>
      <c r="C32" s="43"/>
      <c r="D32" s="17"/>
      <c r="E32" s="17"/>
      <c r="F32" s="17"/>
      <c r="G32" s="17"/>
      <c r="H32" s="17"/>
      <c r="I32" s="18"/>
      <c r="J32" s="19"/>
      <c r="K32" s="18"/>
      <c r="L32" s="20"/>
      <c r="M32" s="18"/>
      <c r="N32" s="21"/>
      <c r="O32" s="18"/>
      <c r="P32" s="22"/>
      <c r="Q32" s="18"/>
      <c r="R32" s="22"/>
      <c r="S32" s="18"/>
      <c r="T32" s="18"/>
      <c r="U32" s="23" t="str">
        <f t="shared" si="3"/>
        <v>E</v>
      </c>
    </row>
    <row r="33" spans="1:23" x14ac:dyDescent="0.25">
      <c r="B33" s="25"/>
      <c r="C33" s="26"/>
      <c r="I33" s="27"/>
      <c r="T33" s="27"/>
      <c r="U33" s="28"/>
    </row>
    <row r="34" spans="1:23" ht="15.75" x14ac:dyDescent="0.25">
      <c r="D34" s="3"/>
      <c r="E34" s="3"/>
      <c r="F34" s="3"/>
      <c r="G34" s="3"/>
      <c r="H34" s="3"/>
      <c r="I34" s="3"/>
      <c r="L34" s="29"/>
      <c r="M34" s="30"/>
      <c r="N34" s="30"/>
      <c r="O34" s="30"/>
      <c r="P34" s="30"/>
      <c r="Q34" s="29" t="s">
        <v>43</v>
      </c>
      <c r="R34" s="30"/>
      <c r="S34" s="30"/>
      <c r="T34" s="27"/>
    </row>
    <row r="35" spans="1:23" ht="15.75" x14ac:dyDescent="0.25">
      <c r="B35" s="1"/>
      <c r="D35" s="31" t="s">
        <v>37</v>
      </c>
      <c r="E35" s="31"/>
      <c r="F35" s="31"/>
      <c r="G35" s="21"/>
      <c r="H35" s="21"/>
      <c r="I35" s="3"/>
      <c r="L35" s="29"/>
      <c r="M35" s="30"/>
      <c r="N35" s="32"/>
      <c r="O35" s="30"/>
      <c r="P35" s="30"/>
      <c r="Q35" s="29" t="s">
        <v>22</v>
      </c>
      <c r="R35" s="30"/>
      <c r="S35" s="33"/>
      <c r="T35" s="27"/>
    </row>
    <row r="36" spans="1:23" s="10" customFormat="1" ht="15.75" x14ac:dyDescent="0.25">
      <c r="A36" s="3"/>
      <c r="B36" s="1"/>
      <c r="D36" s="57" t="s">
        <v>38</v>
      </c>
      <c r="E36" s="58"/>
      <c r="F36" s="58"/>
      <c r="G36" s="59"/>
      <c r="H36" s="34">
        <v>0.25</v>
      </c>
      <c r="L36" s="29"/>
      <c r="M36" s="30"/>
      <c r="N36" s="30"/>
      <c r="O36" s="30"/>
      <c r="P36" s="30"/>
      <c r="Q36" s="29"/>
      <c r="R36" s="33"/>
      <c r="S36" s="33"/>
      <c r="V36" s="3"/>
      <c r="W36" s="3"/>
    </row>
    <row r="37" spans="1:23" s="10" customFormat="1" x14ac:dyDescent="0.25">
      <c r="A37" s="3"/>
      <c r="B37" s="1"/>
      <c r="D37" s="57" t="s">
        <v>39</v>
      </c>
      <c r="E37" s="58"/>
      <c r="F37" s="58"/>
      <c r="G37" s="59"/>
      <c r="H37" s="34">
        <v>0.25</v>
      </c>
      <c r="L37" s="8"/>
      <c r="Q37" s="28"/>
      <c r="R37" s="28"/>
      <c r="S37" s="28"/>
      <c r="V37" s="3"/>
      <c r="W37" s="3"/>
    </row>
    <row r="38" spans="1:23" s="10" customFormat="1" x14ac:dyDescent="0.25">
      <c r="A38" s="3"/>
      <c r="B38" s="1"/>
      <c r="D38" s="57" t="s">
        <v>40</v>
      </c>
      <c r="E38" s="58"/>
      <c r="F38" s="58"/>
      <c r="G38" s="59"/>
      <c r="H38" s="34">
        <v>0.15</v>
      </c>
      <c r="L38" s="8"/>
      <c r="Q38" s="28"/>
      <c r="R38" s="28"/>
      <c r="S38" s="28"/>
      <c r="V38" s="3"/>
      <c r="W38" s="3"/>
    </row>
    <row r="39" spans="1:23" s="10" customFormat="1" x14ac:dyDescent="0.25">
      <c r="A39" s="3"/>
      <c r="B39" s="1"/>
      <c r="D39" s="57" t="s">
        <v>41</v>
      </c>
      <c r="E39" s="58"/>
      <c r="F39" s="58"/>
      <c r="G39" s="59"/>
      <c r="H39" s="34">
        <v>0.05</v>
      </c>
      <c r="L39" s="8"/>
      <c r="Q39" s="8">
        <f>C5</f>
        <v>0</v>
      </c>
      <c r="R39" s="28"/>
      <c r="S39" s="28"/>
      <c r="V39" s="3"/>
      <c r="W39" s="3"/>
    </row>
    <row r="40" spans="1:23" s="10" customFormat="1" x14ac:dyDescent="0.25">
      <c r="A40" s="3"/>
      <c r="B40" s="3"/>
      <c r="D40" s="57" t="s">
        <v>10</v>
      </c>
      <c r="E40" s="58"/>
      <c r="F40" s="58"/>
      <c r="G40" s="59"/>
      <c r="H40" s="34">
        <v>0.25</v>
      </c>
      <c r="L40" s="35"/>
      <c r="Q40" s="8"/>
      <c r="S40" s="28"/>
      <c r="V40" s="3"/>
      <c r="W40" s="3"/>
    </row>
    <row r="41" spans="1:23" s="10" customFormat="1" x14ac:dyDescent="0.25">
      <c r="A41" s="3"/>
      <c r="B41" s="3"/>
      <c r="D41" s="57" t="s">
        <v>29</v>
      </c>
      <c r="E41" s="58"/>
      <c r="F41" s="58"/>
      <c r="G41" s="59"/>
      <c r="H41" s="34">
        <v>0.05</v>
      </c>
      <c r="R41" s="28"/>
      <c r="S41" s="28"/>
      <c r="V41" s="3"/>
      <c r="W41" s="3"/>
    </row>
    <row r="42" spans="1:23" s="10" customFormat="1" x14ac:dyDescent="0.25">
      <c r="A42" s="3"/>
      <c r="B42" s="3"/>
      <c r="D42" s="54" t="s">
        <v>42</v>
      </c>
      <c r="E42" s="55"/>
      <c r="F42" s="55"/>
      <c r="G42" s="56"/>
      <c r="H42" s="36">
        <f>SUM(H36:H41)</f>
        <v>1</v>
      </c>
      <c r="V42" s="3"/>
      <c r="W42" s="3"/>
    </row>
  </sheetData>
  <mergeCells count="25">
    <mergeCell ref="D42:G42"/>
    <mergeCell ref="D36:G36"/>
    <mergeCell ref="D37:G37"/>
    <mergeCell ref="D38:G38"/>
    <mergeCell ref="D39:G39"/>
    <mergeCell ref="D40:G40"/>
    <mergeCell ref="D41:G41"/>
    <mergeCell ref="U11:U12"/>
    <mergeCell ref="A8:B8"/>
    <mergeCell ref="A9:B9"/>
    <mergeCell ref="A11:A12"/>
    <mergeCell ref="B11:B12"/>
    <mergeCell ref="C11:C12"/>
    <mergeCell ref="D11:I11"/>
    <mergeCell ref="J11:K11"/>
    <mergeCell ref="L11:M11"/>
    <mergeCell ref="N11:O11"/>
    <mergeCell ref="P11:S11"/>
    <mergeCell ref="T11:T12"/>
    <mergeCell ref="A7:B7"/>
    <mergeCell ref="A1:U1"/>
    <mergeCell ref="A2:U2"/>
    <mergeCell ref="A3:U3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</dc:creator>
  <cp:lastModifiedBy>user</cp:lastModifiedBy>
  <dcterms:created xsi:type="dcterms:W3CDTF">2022-03-25T07:13:57Z</dcterms:created>
  <dcterms:modified xsi:type="dcterms:W3CDTF">2025-12-16T04:11:58Z</dcterms:modified>
</cp:coreProperties>
</file>